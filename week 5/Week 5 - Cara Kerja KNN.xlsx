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_FilterDatabase" localSheetId="0" hidden="1">Sheet1!$O$17:$S$37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57" i="1" l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S37" i="1"/>
  <c r="S36" i="1"/>
  <c r="S34" i="1"/>
  <c r="S33" i="1"/>
  <c r="S28" i="1"/>
  <c r="S27" i="1"/>
  <c r="S18" i="1"/>
  <c r="S21" i="1"/>
  <c r="S20" i="1"/>
  <c r="S26" i="1"/>
  <c r="S35" i="1"/>
  <c r="S32" i="1"/>
  <c r="S29" i="1"/>
  <c r="S25" i="1"/>
  <c r="S22" i="1"/>
  <c r="S19" i="1"/>
  <c r="S23" i="1"/>
  <c r="S24" i="1"/>
  <c r="S30" i="1"/>
  <c r="S31" i="1"/>
  <c r="L19" i="1"/>
  <c r="L18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</calcChain>
</file>

<file path=xl/sharedStrings.xml><?xml version="1.0" encoding="utf-8"?>
<sst xmlns="http://schemas.openxmlformats.org/spreadsheetml/2006/main" count="140" uniqueCount="24">
  <si>
    <t>ID</t>
  </si>
  <si>
    <t>X1</t>
  </si>
  <si>
    <t>X2</t>
  </si>
  <si>
    <t>Y</t>
  </si>
  <si>
    <t>A</t>
  </si>
  <si>
    <t>B</t>
  </si>
  <si>
    <t>Cara Kerja KNN</t>
  </si>
  <si>
    <t xml:space="preserve">Titik baru </t>
  </si>
  <si>
    <t>X1 = 4</t>
  </si>
  <si>
    <t>X2 = 5</t>
  </si>
  <si>
    <t>Menggunakan jarak euclidean, untuk menghitung jarak antara titik baru (X1 = 4, X2 = 5) dari setiap titik data.</t>
  </si>
  <si>
    <t>Jarak dari (4,5)</t>
  </si>
  <si>
    <t>2. Pengukuran Jarak</t>
  </si>
  <si>
    <t>1. Persiapan Data</t>
  </si>
  <si>
    <t># Urutkan data berdasarkan jarak dari yang terkecil</t>
  </si>
  <si>
    <t># Tentukan 3 tetangga terdekat</t>
  </si>
  <si>
    <t>ID 14 = Jarak 2 = Kelas A</t>
  </si>
  <si>
    <t>ID = Jarak 2.236 = Kelas B</t>
  </si>
  <si>
    <t>ID 5 = Jarak 2.236 = Kelas B</t>
  </si>
  <si>
    <t>Mayoritas adalah B (2 suara B, 1 suara A)</t>
  </si>
  <si>
    <r>
      <t>Maka titik baru (X1 = 4, X2 = 5) akan diklasifikasikan ke kelas B berdasarkan algoritma</t>
    </r>
    <r>
      <rPr>
        <b/>
        <sz val="11"/>
        <color theme="1"/>
        <rFont val="Calibri"/>
        <family val="2"/>
        <scheme val="minor"/>
      </rPr>
      <t xml:space="preserve"> KNN </t>
    </r>
    <r>
      <rPr>
        <sz val="11"/>
        <color theme="1"/>
        <rFont val="Calibri"/>
        <family val="2"/>
        <scheme val="minor"/>
      </rPr>
      <t xml:space="preserve">dengan </t>
    </r>
    <r>
      <rPr>
        <b/>
        <sz val="11"/>
        <color theme="1"/>
        <rFont val="Calibri"/>
        <family val="2"/>
        <scheme val="minor"/>
      </rPr>
      <t>K = 3</t>
    </r>
  </si>
  <si>
    <t>3 - 6 Pemilihan Jumlah Tetangga (K = 3) dan identifikasi tetangga terdekat</t>
  </si>
  <si>
    <t>4. Visualisasi Persebaran Data (BEFORE)</t>
  </si>
  <si>
    <t>Visualisasi Persebaran Data Setelah Menggunakan Model KNN (AFTER)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</si>
</sst>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</a:t>
            </a:r>
            <a:r>
              <a:rPr lang="en-US" baseline="0"/>
              <a:t> Persebaran Data (BEFORE)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(Sheet1!$D$6:$D$8,Sheet1!$D$12:$D$13,Sheet1!$D$15,Sheet1!$D$18:$D$19,Sheet1!$D$22:$D$23,Sheet1!$D$25)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(Sheet1!$E$6:$E$8,Sheet1!$E$12:$E$13,Sheet1!$E$15,Sheet1!$E$18:$E$19,Sheet1!$E$22:$E$23)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</c:numCache>
            </c:numRef>
          </c:yVal>
          <c:smooth val="0"/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(Sheet1!$D$9:$D$11,Sheet1!$D$14,Sheet1!$D$16:$D$17,Sheet1!$D$20:$D$21)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(Sheet1!$E$9:$E$11,Sheet1!$E$14,Sheet1!$E$16:$E$17,Sheet1!$E$20:$E$21)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</c:numCache>
            </c:numRef>
          </c:yVal>
          <c:smooth val="0"/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304432"/>
        <c:axId val="839299536"/>
      </c:scatterChart>
      <c:valAx>
        <c:axId val="83930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99536"/>
        <c:crosses val="autoZero"/>
        <c:crossBetween val="midCat"/>
      </c:valAx>
      <c:valAx>
        <c:axId val="8392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0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 Data KNN, K= 3 (AFTER)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(Sheet1!$AB$38,Sheet1!$AB$41,Sheet1!$AB$44:$AB$45,Sheet1!$AB$49:$AB$51,Sheet1!$AB$53:$AB$55)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</c:numCache>
            </c:numRef>
          </c:xVal>
          <c:yVal>
            <c:numRef>
              <c:f>(Sheet1!$AC$38,Sheet1!$AC$41,Sheet1!$AC$44:$AC$45,Sheet1!$AC$49:$AC$51,Sheet1!$AC$53:$AC$55)</c:f>
              <c:numCache>
                <c:formatCode>General</c:formatCode>
                <c:ptCount val="10"/>
                <c:pt idx="0">
                  <c:v>7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  <c:pt idx="8">
                  <c:v>9</c:v>
                </c:pt>
                <c:pt idx="9">
                  <c:v>5</c:v>
                </c:pt>
              </c:numCache>
            </c:numRef>
          </c:yVal>
          <c:smooth val="0"/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(Sheet1!$AB$39:$AB$40,Sheet1!$AB$42:$AB$43,Sheet1!$AB$46:$AB$48)</c:f>
              <c:numCache>
                <c:formatCode>General</c:formatCode>
                <c:ptCount val="7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(Sheet1!$AC$39:$AC$40,Sheet1!$AC$42:$AC$43,Sheet1!$AC$46:$AC$48)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</c:numCache>
            </c:numRef>
          </c:yVal>
          <c:smooth val="0"/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316064"/>
        <c:axId val="841315520"/>
      </c:scatterChart>
      <c:valAx>
        <c:axId val="8413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5520"/>
        <c:crosses val="autoZero"/>
        <c:crossBetween val="midCat"/>
      </c:valAx>
      <c:valAx>
        <c:axId val="8413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95250</xdr:rowOff>
    </xdr:from>
    <xdr:to>
      <xdr:col>12</xdr:col>
      <xdr:colOff>67156</xdr:colOff>
      <xdr:row>13</xdr:row>
      <xdr:rowOff>133408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2781300"/>
          <a:ext cx="3448531" cy="419158"/>
        </a:xfrm>
        <a:prstGeom prst="rect">
          <a:avLst/>
        </a:prstGeom>
      </xdr:spPr>
    </xdr:pic>
    <xdr:clientData/>
  </xdr:twoCellAnchor>
  <xdr:twoCellAnchor>
    <xdr:from>
      <xdr:col>31</xdr:col>
      <xdr:colOff>607154</xdr:colOff>
      <xdr:row>9</xdr:row>
      <xdr:rowOff>190448</xdr:rowOff>
    </xdr:from>
    <xdr:to>
      <xdr:col>39</xdr:col>
      <xdr:colOff>330418</xdr:colOff>
      <xdr:row>23</xdr:row>
      <xdr:rowOff>24193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604631</xdr:colOff>
      <xdr:row>37</xdr:row>
      <xdr:rowOff>24019</xdr:rowOff>
    </xdr:from>
    <xdr:to>
      <xdr:col>39</xdr:col>
      <xdr:colOff>273327</xdr:colOff>
      <xdr:row>51</xdr:row>
      <xdr:rowOff>100219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165652</xdr:colOff>
      <xdr:row>41</xdr:row>
      <xdr:rowOff>140753</xdr:rowOff>
    </xdr:from>
    <xdr:to>
      <xdr:col>35</xdr:col>
      <xdr:colOff>82826</xdr:colOff>
      <xdr:row>47</xdr:row>
      <xdr:rowOff>125017</xdr:rowOff>
    </xdr:to>
    <xdr:sp macro="" textlink="">
      <xdr:nvSpPr>
        <xdr:cNvPr id="12" name="Freeform 11"/>
        <xdr:cNvSpPr/>
      </xdr:nvSpPr>
      <xdr:spPr>
        <a:xfrm>
          <a:off x="21054391" y="8787796"/>
          <a:ext cx="1143000" cy="1127264"/>
        </a:xfrm>
        <a:custGeom>
          <a:avLst/>
          <a:gdLst>
            <a:gd name="connsiteX0" fmla="*/ 0 w 1143000"/>
            <a:gd name="connsiteY0" fmla="*/ 289943 h 1127264"/>
            <a:gd name="connsiteX1" fmla="*/ 8283 w 1143000"/>
            <a:gd name="connsiteY1" fmla="*/ 331356 h 1127264"/>
            <a:gd name="connsiteX2" fmla="*/ 24848 w 1143000"/>
            <a:gd name="connsiteY2" fmla="*/ 488726 h 1127264"/>
            <a:gd name="connsiteX3" fmla="*/ 41413 w 1143000"/>
            <a:gd name="connsiteY3" fmla="*/ 513574 h 1127264"/>
            <a:gd name="connsiteX4" fmla="*/ 49696 w 1143000"/>
            <a:gd name="connsiteY4" fmla="*/ 546704 h 1127264"/>
            <a:gd name="connsiteX5" fmla="*/ 91109 w 1143000"/>
            <a:gd name="connsiteY5" fmla="*/ 604682 h 1127264"/>
            <a:gd name="connsiteX6" fmla="*/ 124239 w 1143000"/>
            <a:gd name="connsiteY6" fmla="*/ 654378 h 1127264"/>
            <a:gd name="connsiteX7" fmla="*/ 140805 w 1143000"/>
            <a:gd name="connsiteY7" fmla="*/ 679226 h 1127264"/>
            <a:gd name="connsiteX8" fmla="*/ 165652 w 1143000"/>
            <a:gd name="connsiteY8" fmla="*/ 695791 h 1127264"/>
            <a:gd name="connsiteX9" fmla="*/ 190500 w 1143000"/>
            <a:gd name="connsiteY9" fmla="*/ 720639 h 1127264"/>
            <a:gd name="connsiteX10" fmla="*/ 198783 w 1143000"/>
            <a:gd name="connsiteY10" fmla="*/ 745487 h 1127264"/>
            <a:gd name="connsiteX11" fmla="*/ 223631 w 1143000"/>
            <a:gd name="connsiteY11" fmla="*/ 762052 h 1127264"/>
            <a:gd name="connsiteX12" fmla="*/ 248479 w 1143000"/>
            <a:gd name="connsiteY12" fmla="*/ 786900 h 1127264"/>
            <a:gd name="connsiteX13" fmla="*/ 298174 w 1143000"/>
            <a:gd name="connsiteY13" fmla="*/ 853161 h 1127264"/>
            <a:gd name="connsiteX14" fmla="*/ 347870 w 1143000"/>
            <a:gd name="connsiteY14" fmla="*/ 886291 h 1127264"/>
            <a:gd name="connsiteX15" fmla="*/ 422413 w 1143000"/>
            <a:gd name="connsiteY15" fmla="*/ 927704 h 1127264"/>
            <a:gd name="connsiteX16" fmla="*/ 447261 w 1143000"/>
            <a:gd name="connsiteY16" fmla="*/ 935987 h 1127264"/>
            <a:gd name="connsiteX17" fmla="*/ 496957 w 1143000"/>
            <a:gd name="connsiteY17" fmla="*/ 944269 h 1127264"/>
            <a:gd name="connsiteX18" fmla="*/ 538370 w 1143000"/>
            <a:gd name="connsiteY18" fmla="*/ 969117 h 1127264"/>
            <a:gd name="connsiteX19" fmla="*/ 679174 w 1143000"/>
            <a:gd name="connsiteY19" fmla="*/ 993965 h 1127264"/>
            <a:gd name="connsiteX20" fmla="*/ 712305 w 1143000"/>
            <a:gd name="connsiteY20" fmla="*/ 1010530 h 1127264"/>
            <a:gd name="connsiteX21" fmla="*/ 770283 w 1143000"/>
            <a:gd name="connsiteY21" fmla="*/ 1027095 h 1127264"/>
            <a:gd name="connsiteX22" fmla="*/ 819979 w 1143000"/>
            <a:gd name="connsiteY22" fmla="*/ 1043661 h 1127264"/>
            <a:gd name="connsiteX23" fmla="*/ 844826 w 1143000"/>
            <a:gd name="connsiteY23" fmla="*/ 1051943 h 1127264"/>
            <a:gd name="connsiteX24" fmla="*/ 869674 w 1143000"/>
            <a:gd name="connsiteY24" fmla="*/ 1076791 h 1127264"/>
            <a:gd name="connsiteX25" fmla="*/ 894522 w 1143000"/>
            <a:gd name="connsiteY25" fmla="*/ 1085074 h 1127264"/>
            <a:gd name="connsiteX26" fmla="*/ 935935 w 1143000"/>
            <a:gd name="connsiteY26" fmla="*/ 1126487 h 1127264"/>
            <a:gd name="connsiteX27" fmla="*/ 1109870 w 1143000"/>
            <a:gd name="connsiteY27" fmla="*/ 1101639 h 1127264"/>
            <a:gd name="connsiteX28" fmla="*/ 1126435 w 1143000"/>
            <a:gd name="connsiteY28" fmla="*/ 1076791 h 1127264"/>
            <a:gd name="connsiteX29" fmla="*/ 1143000 w 1143000"/>
            <a:gd name="connsiteY29" fmla="*/ 1035378 h 1127264"/>
            <a:gd name="connsiteX30" fmla="*/ 1134718 w 1143000"/>
            <a:gd name="connsiteY30" fmla="*/ 878008 h 1127264"/>
            <a:gd name="connsiteX31" fmla="*/ 1109870 w 1143000"/>
            <a:gd name="connsiteY31" fmla="*/ 795182 h 1127264"/>
            <a:gd name="connsiteX32" fmla="*/ 1101587 w 1143000"/>
            <a:gd name="connsiteY32" fmla="*/ 753769 h 1127264"/>
            <a:gd name="connsiteX33" fmla="*/ 1085022 w 1143000"/>
            <a:gd name="connsiteY33" fmla="*/ 720639 h 1127264"/>
            <a:gd name="connsiteX34" fmla="*/ 1076739 w 1143000"/>
            <a:gd name="connsiteY34" fmla="*/ 695791 h 1127264"/>
            <a:gd name="connsiteX35" fmla="*/ 1060174 w 1143000"/>
            <a:gd name="connsiteY35" fmla="*/ 662661 h 1127264"/>
            <a:gd name="connsiteX36" fmla="*/ 1051892 w 1143000"/>
            <a:gd name="connsiteY36" fmla="*/ 637813 h 1127264"/>
            <a:gd name="connsiteX37" fmla="*/ 1035326 w 1143000"/>
            <a:gd name="connsiteY37" fmla="*/ 604682 h 1127264"/>
            <a:gd name="connsiteX38" fmla="*/ 1027044 w 1143000"/>
            <a:gd name="connsiteY38" fmla="*/ 579834 h 1127264"/>
            <a:gd name="connsiteX39" fmla="*/ 1010479 w 1143000"/>
            <a:gd name="connsiteY39" fmla="*/ 554987 h 1127264"/>
            <a:gd name="connsiteX40" fmla="*/ 1002196 w 1143000"/>
            <a:gd name="connsiteY40" fmla="*/ 530139 h 1127264"/>
            <a:gd name="connsiteX41" fmla="*/ 977348 w 1143000"/>
            <a:gd name="connsiteY41" fmla="*/ 497008 h 1127264"/>
            <a:gd name="connsiteX42" fmla="*/ 952500 w 1143000"/>
            <a:gd name="connsiteY42" fmla="*/ 455595 h 1127264"/>
            <a:gd name="connsiteX43" fmla="*/ 944218 w 1143000"/>
            <a:gd name="connsiteY43" fmla="*/ 430747 h 1127264"/>
            <a:gd name="connsiteX44" fmla="*/ 927652 w 1143000"/>
            <a:gd name="connsiteY44" fmla="*/ 405900 h 1127264"/>
            <a:gd name="connsiteX45" fmla="*/ 919370 w 1143000"/>
            <a:gd name="connsiteY45" fmla="*/ 364487 h 1127264"/>
            <a:gd name="connsiteX46" fmla="*/ 894522 w 1143000"/>
            <a:gd name="connsiteY46" fmla="*/ 314791 h 1127264"/>
            <a:gd name="connsiteX47" fmla="*/ 886239 w 1143000"/>
            <a:gd name="connsiteY47" fmla="*/ 265095 h 1127264"/>
            <a:gd name="connsiteX48" fmla="*/ 869674 w 1143000"/>
            <a:gd name="connsiteY48" fmla="*/ 207117 h 1127264"/>
            <a:gd name="connsiteX49" fmla="*/ 836544 w 1143000"/>
            <a:gd name="connsiteY49" fmla="*/ 99443 h 1127264"/>
            <a:gd name="connsiteX50" fmla="*/ 828261 w 1143000"/>
            <a:gd name="connsiteY50" fmla="*/ 74595 h 1127264"/>
            <a:gd name="connsiteX51" fmla="*/ 753718 w 1143000"/>
            <a:gd name="connsiteY51" fmla="*/ 33182 h 1127264"/>
            <a:gd name="connsiteX52" fmla="*/ 704022 w 1143000"/>
            <a:gd name="connsiteY52" fmla="*/ 52 h 1127264"/>
            <a:gd name="connsiteX53" fmla="*/ 571500 w 1143000"/>
            <a:gd name="connsiteY53" fmla="*/ 16617 h 1127264"/>
            <a:gd name="connsiteX54" fmla="*/ 546652 w 1143000"/>
            <a:gd name="connsiteY54" fmla="*/ 33182 h 1127264"/>
            <a:gd name="connsiteX55" fmla="*/ 513522 w 1143000"/>
            <a:gd name="connsiteY55" fmla="*/ 49747 h 1127264"/>
            <a:gd name="connsiteX56" fmla="*/ 463826 w 1143000"/>
            <a:gd name="connsiteY56" fmla="*/ 99443 h 1127264"/>
            <a:gd name="connsiteX57" fmla="*/ 455544 w 1143000"/>
            <a:gd name="connsiteY57" fmla="*/ 124291 h 1127264"/>
            <a:gd name="connsiteX58" fmla="*/ 447261 w 1143000"/>
            <a:gd name="connsiteY58" fmla="*/ 248530 h 1127264"/>
            <a:gd name="connsiteX59" fmla="*/ 414131 w 1143000"/>
            <a:gd name="connsiteY59" fmla="*/ 265095 h 1127264"/>
            <a:gd name="connsiteX60" fmla="*/ 256761 w 1143000"/>
            <a:gd name="connsiteY60" fmla="*/ 273378 h 1127264"/>
            <a:gd name="connsiteX61" fmla="*/ 215348 w 1143000"/>
            <a:gd name="connsiteY61" fmla="*/ 223682 h 1127264"/>
            <a:gd name="connsiteX62" fmla="*/ 173935 w 1143000"/>
            <a:gd name="connsiteY62" fmla="*/ 215400 h 1127264"/>
            <a:gd name="connsiteX63" fmla="*/ 115957 w 1143000"/>
            <a:gd name="connsiteY63" fmla="*/ 207117 h 1127264"/>
            <a:gd name="connsiteX64" fmla="*/ 8283 w 1143000"/>
            <a:gd name="connsiteY64" fmla="*/ 256813 h 1127264"/>
            <a:gd name="connsiteX65" fmla="*/ 0 w 1143000"/>
            <a:gd name="connsiteY65" fmla="*/ 289943 h 11272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</a:cxnLst>
          <a:rect l="l" t="t" r="r" b="b"/>
          <a:pathLst>
            <a:path w="1143000" h="1127264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E57"/>
  <sheetViews>
    <sheetView tabSelected="1" zoomScale="40" zoomScaleNormal="40" workbookViewId="0">
      <selection activeCell="AS41" sqref="AS41"/>
    </sheetView>
  </sheetViews>
  <sheetFormatPr defaultRowHeight="15" x14ac:dyDescent="0.25"/>
  <cols>
    <col min="12" max="12" width="14.140625" customWidth="1"/>
    <col min="19" max="19" width="14.140625" customWidth="1"/>
  </cols>
  <sheetData>
    <row r="2" spans="3:30" ht="46.5" x14ac:dyDescent="0.7">
      <c r="J2" s="3" t="s">
        <v>6</v>
      </c>
      <c r="K2" s="3"/>
      <c r="L2" s="3"/>
      <c r="M2" s="3"/>
      <c r="N2" s="3"/>
    </row>
    <row r="4" spans="3:30" x14ac:dyDescent="0.25">
      <c r="C4" s="4" t="s">
        <v>13</v>
      </c>
    </row>
    <row r="5" spans="3:30" ht="30" x14ac:dyDescent="0.25">
      <c r="C5" s="1" t="s">
        <v>0</v>
      </c>
      <c r="D5" s="1" t="s">
        <v>1</v>
      </c>
      <c r="E5" s="1" t="s">
        <v>2</v>
      </c>
      <c r="F5" s="1" t="s">
        <v>3</v>
      </c>
      <c r="H5" s="10" t="s">
        <v>7</v>
      </c>
    </row>
    <row r="6" spans="3:30" x14ac:dyDescent="0.25">
      <c r="C6" s="2">
        <v>1</v>
      </c>
      <c r="D6" s="2">
        <v>1</v>
      </c>
      <c r="E6" s="2">
        <v>1</v>
      </c>
      <c r="F6" s="2" t="s">
        <v>4</v>
      </c>
      <c r="H6" s="11" t="s">
        <v>8</v>
      </c>
    </row>
    <row r="7" spans="3:30" x14ac:dyDescent="0.25">
      <c r="C7" s="2">
        <v>2</v>
      </c>
      <c r="D7" s="2">
        <v>2</v>
      </c>
      <c r="E7" s="2">
        <v>1</v>
      </c>
      <c r="F7" s="2" t="s">
        <v>4</v>
      </c>
      <c r="H7" s="11" t="s">
        <v>9</v>
      </c>
    </row>
    <row r="8" spans="3:30" x14ac:dyDescent="0.25">
      <c r="C8" s="2">
        <v>3</v>
      </c>
      <c r="D8" s="2">
        <v>3</v>
      </c>
      <c r="E8" s="2">
        <v>2</v>
      </c>
      <c r="F8" s="2" t="s">
        <v>4</v>
      </c>
    </row>
    <row r="9" spans="3:30" ht="15" customHeight="1" x14ac:dyDescent="0.25">
      <c r="C9" s="2">
        <v>4</v>
      </c>
      <c r="D9" s="2">
        <v>4</v>
      </c>
      <c r="E9" s="2">
        <v>2</v>
      </c>
      <c r="F9" s="2" t="s">
        <v>5</v>
      </c>
      <c r="H9" s="5" t="s">
        <v>12</v>
      </c>
      <c r="I9" s="5"/>
      <c r="O9" s="14" t="s">
        <v>21</v>
      </c>
      <c r="P9" s="14"/>
      <c r="Q9" s="14"/>
      <c r="R9" s="14"/>
      <c r="S9" s="14"/>
      <c r="AA9" s="5" t="s">
        <v>22</v>
      </c>
      <c r="AB9" s="5"/>
      <c r="AC9" s="5"/>
      <c r="AD9" s="5"/>
    </row>
    <row r="10" spans="3:30" x14ac:dyDescent="0.25">
      <c r="C10" s="2">
        <v>5</v>
      </c>
      <c r="D10" s="2">
        <v>5</v>
      </c>
      <c r="E10" s="2">
        <v>3</v>
      </c>
      <c r="F10" s="2" t="s">
        <v>5</v>
      </c>
      <c r="H10" s="8" t="s">
        <v>10</v>
      </c>
      <c r="I10" s="8"/>
      <c r="J10" s="8"/>
      <c r="K10" s="8"/>
      <c r="L10" s="8"/>
      <c r="M10" s="8"/>
      <c r="O10" s="14"/>
      <c r="P10" s="14"/>
      <c r="Q10" s="14"/>
      <c r="R10" s="14"/>
      <c r="S10" s="14"/>
    </row>
    <row r="11" spans="3:30" x14ac:dyDescent="0.25">
      <c r="C11" s="2">
        <v>6</v>
      </c>
      <c r="D11" s="2">
        <v>6</v>
      </c>
      <c r="E11" s="2">
        <v>3</v>
      </c>
      <c r="F11" s="2" t="s">
        <v>5</v>
      </c>
      <c r="H11" s="8"/>
      <c r="I11" s="8"/>
      <c r="J11" s="8"/>
      <c r="K11" s="8"/>
      <c r="L11" s="8"/>
      <c r="M11" s="8"/>
      <c r="O11" t="s">
        <v>14</v>
      </c>
      <c r="AA11" s="1" t="s">
        <v>0</v>
      </c>
      <c r="AB11" s="1" t="s">
        <v>1</v>
      </c>
      <c r="AC11" s="1" t="s">
        <v>2</v>
      </c>
      <c r="AD11" s="1" t="s">
        <v>3</v>
      </c>
    </row>
    <row r="12" spans="3:30" x14ac:dyDescent="0.25">
      <c r="C12" s="2">
        <v>7</v>
      </c>
      <c r="D12" s="2">
        <v>7</v>
      </c>
      <c r="E12" s="2">
        <v>4</v>
      </c>
      <c r="F12" s="2" t="s">
        <v>4</v>
      </c>
      <c r="H12" s="7"/>
      <c r="O12" t="s">
        <v>15</v>
      </c>
      <c r="AA12" s="2">
        <v>1</v>
      </c>
      <c r="AB12" s="2">
        <v>1</v>
      </c>
      <c r="AC12" s="2">
        <v>1</v>
      </c>
      <c r="AD12" s="2" t="s">
        <v>4</v>
      </c>
    </row>
    <row r="13" spans="3:30" x14ac:dyDescent="0.25">
      <c r="C13" s="2">
        <v>8</v>
      </c>
      <c r="D13" s="2">
        <v>8</v>
      </c>
      <c r="E13" s="2">
        <v>4</v>
      </c>
      <c r="F13" s="2" t="s">
        <v>4</v>
      </c>
      <c r="O13" t="s">
        <v>16</v>
      </c>
      <c r="AA13" s="2">
        <v>2</v>
      </c>
      <c r="AB13" s="2">
        <v>2</v>
      </c>
      <c r="AC13" s="2">
        <v>1</v>
      </c>
      <c r="AD13" s="2" t="s">
        <v>4</v>
      </c>
    </row>
    <row r="14" spans="3:30" x14ac:dyDescent="0.25">
      <c r="C14" s="2">
        <v>9</v>
      </c>
      <c r="D14" s="2">
        <v>9</v>
      </c>
      <c r="E14" s="2">
        <v>5</v>
      </c>
      <c r="F14" s="2" t="s">
        <v>5</v>
      </c>
      <c r="O14" t="s">
        <v>18</v>
      </c>
      <c r="AA14" s="2">
        <v>3</v>
      </c>
      <c r="AB14" s="2">
        <v>3</v>
      </c>
      <c r="AC14" s="2">
        <v>2</v>
      </c>
      <c r="AD14" s="2" t="s">
        <v>4</v>
      </c>
    </row>
    <row r="15" spans="3:30" x14ac:dyDescent="0.25">
      <c r="C15" s="2">
        <v>10</v>
      </c>
      <c r="D15" s="2">
        <v>10</v>
      </c>
      <c r="E15" s="2">
        <v>5</v>
      </c>
      <c r="F15" s="2" t="s">
        <v>4</v>
      </c>
      <c r="O15" t="s">
        <v>17</v>
      </c>
      <c r="AA15" s="2">
        <v>4</v>
      </c>
      <c r="AB15" s="2">
        <v>4</v>
      </c>
      <c r="AC15" s="2">
        <v>2</v>
      </c>
      <c r="AD15" s="2" t="s">
        <v>5</v>
      </c>
    </row>
    <row r="16" spans="3:30" ht="19.5" customHeight="1" x14ac:dyDescent="0.25">
      <c r="C16" s="2">
        <v>11</v>
      </c>
      <c r="D16" s="2">
        <v>1</v>
      </c>
      <c r="E16" s="2">
        <v>6</v>
      </c>
      <c r="F16" s="2" t="s">
        <v>5</v>
      </c>
      <c r="AA16" s="2">
        <v>5</v>
      </c>
      <c r="AB16" s="2">
        <v>5</v>
      </c>
      <c r="AC16" s="2">
        <v>3</v>
      </c>
      <c r="AD16" s="2" t="s">
        <v>5</v>
      </c>
    </row>
    <row r="17" spans="3:30" x14ac:dyDescent="0.25">
      <c r="C17" s="2">
        <v>12</v>
      </c>
      <c r="D17" s="2">
        <v>2</v>
      </c>
      <c r="E17" s="2">
        <v>6</v>
      </c>
      <c r="F17" s="2" t="s">
        <v>5</v>
      </c>
      <c r="H17" s="1" t="s">
        <v>0</v>
      </c>
      <c r="I17" s="1" t="s">
        <v>1</v>
      </c>
      <c r="J17" s="1" t="s">
        <v>2</v>
      </c>
      <c r="K17" s="1" t="s">
        <v>3</v>
      </c>
      <c r="L17" s="6" t="s">
        <v>11</v>
      </c>
      <c r="O17" s="1" t="s">
        <v>0</v>
      </c>
      <c r="P17" s="1" t="s">
        <v>1</v>
      </c>
      <c r="Q17" s="1" t="s">
        <v>2</v>
      </c>
      <c r="R17" s="1" t="s">
        <v>3</v>
      </c>
      <c r="S17" s="6" t="s">
        <v>11</v>
      </c>
      <c r="AA17" s="2">
        <v>6</v>
      </c>
      <c r="AB17" s="2">
        <v>6</v>
      </c>
      <c r="AC17" s="2">
        <v>3</v>
      </c>
      <c r="AD17" s="2" t="s">
        <v>5</v>
      </c>
    </row>
    <row r="18" spans="3:30" x14ac:dyDescent="0.25">
      <c r="C18" s="2">
        <v>13</v>
      </c>
      <c r="D18" s="2">
        <v>3</v>
      </c>
      <c r="E18" s="2">
        <v>7</v>
      </c>
      <c r="F18" s="2" t="s">
        <v>4</v>
      </c>
      <c r="H18" s="2">
        <v>1</v>
      </c>
      <c r="I18" s="2">
        <v>1</v>
      </c>
      <c r="J18" s="2">
        <v>1</v>
      </c>
      <c r="K18" s="2" t="s">
        <v>4</v>
      </c>
      <c r="L18" s="9">
        <f>SQRT((I18-4)^2+(J18-5)^2)</f>
        <v>5</v>
      </c>
      <c r="O18" s="12">
        <v>14</v>
      </c>
      <c r="P18" s="12">
        <v>4</v>
      </c>
      <c r="Q18" s="12">
        <v>7</v>
      </c>
      <c r="R18" s="12" t="s">
        <v>4</v>
      </c>
      <c r="S18" s="13">
        <f>SQRT((P18-4)^2+(Q18-5)^2)</f>
        <v>2</v>
      </c>
      <c r="AA18" s="2">
        <v>7</v>
      </c>
      <c r="AB18" s="2">
        <v>7</v>
      </c>
      <c r="AC18" s="2">
        <v>4</v>
      </c>
      <c r="AD18" s="2" t="s">
        <v>4</v>
      </c>
    </row>
    <row r="19" spans="3:30" x14ac:dyDescent="0.25">
      <c r="C19" s="2">
        <v>14</v>
      </c>
      <c r="D19" s="2">
        <v>4</v>
      </c>
      <c r="E19" s="2">
        <v>7</v>
      </c>
      <c r="F19" s="2" t="s">
        <v>4</v>
      </c>
      <c r="H19" s="2">
        <v>2</v>
      </c>
      <c r="I19" s="2">
        <v>2</v>
      </c>
      <c r="J19" s="2">
        <v>1</v>
      </c>
      <c r="K19" s="2" t="s">
        <v>4</v>
      </c>
      <c r="L19" s="9">
        <f>SQRT((I19-4)^2+(J19-5)^2)</f>
        <v>4.4721359549995796</v>
      </c>
      <c r="O19" s="12">
        <v>5</v>
      </c>
      <c r="P19" s="12">
        <v>5</v>
      </c>
      <c r="Q19" s="12">
        <v>3</v>
      </c>
      <c r="R19" s="12" t="s">
        <v>5</v>
      </c>
      <c r="S19" s="13">
        <f>SQRT((P19-4)^2+(Q19-5)^2)</f>
        <v>2.2360679774997898</v>
      </c>
      <c r="AA19" s="2">
        <v>8</v>
      </c>
      <c r="AB19" s="2">
        <v>8</v>
      </c>
      <c r="AC19" s="2">
        <v>4</v>
      </c>
      <c r="AD19" s="2" t="s">
        <v>4</v>
      </c>
    </row>
    <row r="20" spans="3:30" x14ac:dyDescent="0.25">
      <c r="C20" s="2">
        <v>15</v>
      </c>
      <c r="D20" s="2">
        <v>5</v>
      </c>
      <c r="E20" s="2">
        <v>8</v>
      </c>
      <c r="F20" s="2" t="s">
        <v>5</v>
      </c>
      <c r="H20" s="2">
        <v>3</v>
      </c>
      <c r="I20" s="2">
        <v>3</v>
      </c>
      <c r="J20" s="2">
        <v>2</v>
      </c>
      <c r="K20" s="2" t="s">
        <v>4</v>
      </c>
      <c r="L20" s="9">
        <f>SQRT((I20-4)^2+(J20-5)^2)</f>
        <v>3.1622776601683795</v>
      </c>
      <c r="O20" s="12">
        <v>12</v>
      </c>
      <c r="P20" s="12">
        <v>2</v>
      </c>
      <c r="Q20" s="12">
        <v>6</v>
      </c>
      <c r="R20" s="12" t="s">
        <v>5</v>
      </c>
      <c r="S20" s="13">
        <f>SQRT((P20-4)^2+(Q20-5)^2)</f>
        <v>2.2360679774997898</v>
      </c>
      <c r="AA20" s="2">
        <v>9</v>
      </c>
      <c r="AB20" s="2">
        <v>9</v>
      </c>
      <c r="AC20" s="2">
        <v>5</v>
      </c>
      <c r="AD20" s="2" t="s">
        <v>5</v>
      </c>
    </row>
    <row r="21" spans="3:30" x14ac:dyDescent="0.25">
      <c r="C21" s="2">
        <v>16</v>
      </c>
      <c r="D21" s="2">
        <v>6</v>
      </c>
      <c r="E21" s="2">
        <v>8</v>
      </c>
      <c r="F21" s="2" t="s">
        <v>5</v>
      </c>
      <c r="H21" s="2">
        <v>4</v>
      </c>
      <c r="I21" s="2">
        <v>4</v>
      </c>
      <c r="J21" s="2">
        <v>2</v>
      </c>
      <c r="K21" s="2" t="s">
        <v>5</v>
      </c>
      <c r="L21" s="9">
        <f>SQRT((I21-4)^2+(J21-5)^2)</f>
        <v>3</v>
      </c>
      <c r="O21" s="2">
        <v>13</v>
      </c>
      <c r="P21" s="2">
        <v>3</v>
      </c>
      <c r="Q21" s="2">
        <v>7</v>
      </c>
      <c r="R21" s="2" t="s">
        <v>4</v>
      </c>
      <c r="S21" s="9">
        <f>SQRT((P21-4)^2+(Q21-5)^2)</f>
        <v>2.2360679774997898</v>
      </c>
      <c r="AA21" s="2">
        <v>10</v>
      </c>
      <c r="AB21" s="2">
        <v>10</v>
      </c>
      <c r="AC21" s="2">
        <v>5</v>
      </c>
      <c r="AD21" s="2" t="s">
        <v>4</v>
      </c>
    </row>
    <row r="22" spans="3:30" x14ac:dyDescent="0.25">
      <c r="C22" s="2">
        <v>17</v>
      </c>
      <c r="D22" s="2">
        <v>7</v>
      </c>
      <c r="E22" s="2">
        <v>9</v>
      </c>
      <c r="F22" s="2" t="s">
        <v>4</v>
      </c>
      <c r="H22" s="2">
        <v>5</v>
      </c>
      <c r="I22" s="2">
        <v>5</v>
      </c>
      <c r="J22" s="2">
        <v>3</v>
      </c>
      <c r="K22" s="2" t="s">
        <v>5</v>
      </c>
      <c r="L22" s="9">
        <f>SQRT((I22-4)^2+(J22-5)^2)</f>
        <v>2.2360679774997898</v>
      </c>
      <c r="O22" s="2">
        <v>6</v>
      </c>
      <c r="P22" s="2">
        <v>6</v>
      </c>
      <c r="Q22" s="2">
        <v>3</v>
      </c>
      <c r="R22" s="2" t="s">
        <v>5</v>
      </c>
      <c r="S22" s="9">
        <f>SQRT((P22-4)^2+(Q22-5)^2)</f>
        <v>2.8284271247461903</v>
      </c>
      <c r="AA22" s="2">
        <v>11</v>
      </c>
      <c r="AB22" s="2">
        <v>1</v>
      </c>
      <c r="AC22" s="2">
        <v>6</v>
      </c>
      <c r="AD22" s="2" t="s">
        <v>5</v>
      </c>
    </row>
    <row r="23" spans="3:30" x14ac:dyDescent="0.25">
      <c r="C23" s="2">
        <v>18</v>
      </c>
      <c r="D23" s="2">
        <v>8</v>
      </c>
      <c r="E23" s="2">
        <v>9</v>
      </c>
      <c r="F23" s="2" t="s">
        <v>4</v>
      </c>
      <c r="H23" s="2">
        <v>6</v>
      </c>
      <c r="I23" s="2">
        <v>6</v>
      </c>
      <c r="J23" s="2">
        <v>3</v>
      </c>
      <c r="K23" s="2" t="s">
        <v>5</v>
      </c>
      <c r="L23" s="9">
        <f>SQRT((I23-4)^2+(J23-5)^2)</f>
        <v>2.8284271247461903</v>
      </c>
      <c r="O23" s="2">
        <v>4</v>
      </c>
      <c r="P23" s="2">
        <v>4</v>
      </c>
      <c r="Q23" s="2">
        <v>2</v>
      </c>
      <c r="R23" s="2" t="s">
        <v>5</v>
      </c>
      <c r="S23" s="9">
        <f>SQRT((P23-4)^2+(Q23-5)^2)</f>
        <v>3</v>
      </c>
      <c r="AA23" s="2">
        <v>12</v>
      </c>
      <c r="AB23" s="2">
        <v>2</v>
      </c>
      <c r="AC23" s="2">
        <v>6</v>
      </c>
      <c r="AD23" s="2" t="s">
        <v>5</v>
      </c>
    </row>
    <row r="24" spans="3:30" x14ac:dyDescent="0.25">
      <c r="C24" s="2">
        <v>19</v>
      </c>
      <c r="D24" s="2">
        <v>9</v>
      </c>
      <c r="E24" s="2">
        <v>10</v>
      </c>
      <c r="F24" s="2" t="s">
        <v>5</v>
      </c>
      <c r="H24" s="2">
        <v>7</v>
      </c>
      <c r="I24" s="2">
        <v>7</v>
      </c>
      <c r="J24" s="2">
        <v>4</v>
      </c>
      <c r="K24" s="2" t="s">
        <v>4</v>
      </c>
      <c r="L24" s="9">
        <f>SQRT((I24-4)^2+(J24-5)^2)</f>
        <v>3.1622776601683795</v>
      </c>
      <c r="O24" s="2">
        <v>3</v>
      </c>
      <c r="P24" s="2">
        <v>3</v>
      </c>
      <c r="Q24" s="2">
        <v>2</v>
      </c>
      <c r="R24" s="2" t="s">
        <v>4</v>
      </c>
      <c r="S24" s="9">
        <f>SQRT((P24-4)^2+(Q24-5)^2)</f>
        <v>3.1622776601683795</v>
      </c>
      <c r="AA24" s="2">
        <v>13</v>
      </c>
      <c r="AB24" s="2">
        <v>3</v>
      </c>
      <c r="AC24" s="2">
        <v>7</v>
      </c>
      <c r="AD24" s="2" t="s">
        <v>4</v>
      </c>
    </row>
    <row r="25" spans="3:30" x14ac:dyDescent="0.25">
      <c r="C25" s="2">
        <v>20</v>
      </c>
      <c r="D25" s="2">
        <v>10</v>
      </c>
      <c r="E25" s="2">
        <v>10</v>
      </c>
      <c r="F25" s="2" t="s">
        <v>4</v>
      </c>
      <c r="H25" s="2">
        <v>8</v>
      </c>
      <c r="I25" s="2">
        <v>8</v>
      </c>
      <c r="J25" s="2">
        <v>4</v>
      </c>
      <c r="K25" s="2" t="s">
        <v>4</v>
      </c>
      <c r="L25" s="9">
        <f>SQRT((I25-4)^2+(J25-5)^2)</f>
        <v>4.1231056256176606</v>
      </c>
      <c r="O25" s="2">
        <v>7</v>
      </c>
      <c r="P25" s="2">
        <v>7</v>
      </c>
      <c r="Q25" s="2">
        <v>4</v>
      </c>
      <c r="R25" s="2" t="s">
        <v>4</v>
      </c>
      <c r="S25" s="9">
        <f>SQRT((P25-4)^2+(Q25-5)^2)</f>
        <v>3.1622776601683795</v>
      </c>
      <c r="U25" t="s">
        <v>19</v>
      </c>
      <c r="AA25" s="2">
        <v>14</v>
      </c>
      <c r="AB25" s="2">
        <v>4</v>
      </c>
      <c r="AC25" s="2">
        <v>7</v>
      </c>
      <c r="AD25" s="2" t="s">
        <v>4</v>
      </c>
    </row>
    <row r="26" spans="3:30" ht="15" customHeight="1" x14ac:dyDescent="0.25">
      <c r="H26" s="2">
        <v>9</v>
      </c>
      <c r="I26" s="2">
        <v>9</v>
      </c>
      <c r="J26" s="2">
        <v>5</v>
      </c>
      <c r="K26" s="2" t="s">
        <v>5</v>
      </c>
      <c r="L26" s="9">
        <f>SQRT((I26-4)^2+(J26-5)^2)</f>
        <v>5</v>
      </c>
      <c r="O26" s="2">
        <v>11</v>
      </c>
      <c r="P26" s="2">
        <v>1</v>
      </c>
      <c r="Q26" s="2">
        <v>6</v>
      </c>
      <c r="R26" s="2" t="s">
        <v>5</v>
      </c>
      <c r="S26" s="9">
        <f>SQRT((P26-4)^2+(Q26-5)^2)</f>
        <v>3.1622776601683795</v>
      </c>
      <c r="U26" s="8" t="s">
        <v>20</v>
      </c>
      <c r="V26" s="8"/>
      <c r="W26" s="8"/>
      <c r="X26" s="8"/>
      <c r="Y26" s="8"/>
      <c r="Z26" s="8"/>
      <c r="AA26" s="2">
        <v>15</v>
      </c>
      <c r="AB26" s="2">
        <v>5</v>
      </c>
      <c r="AC26" s="2">
        <v>8</v>
      </c>
      <c r="AD26" s="2" t="s">
        <v>5</v>
      </c>
    </row>
    <row r="27" spans="3:30" x14ac:dyDescent="0.25">
      <c r="H27" s="2">
        <v>10</v>
      </c>
      <c r="I27" s="2">
        <v>10</v>
      </c>
      <c r="J27" s="2">
        <v>5</v>
      </c>
      <c r="K27" s="2" t="s">
        <v>4</v>
      </c>
      <c r="L27" s="9">
        <f>SQRT((I27-4)^2+(J27-5)^2)</f>
        <v>6</v>
      </c>
      <c r="O27" s="2">
        <v>15</v>
      </c>
      <c r="P27" s="2">
        <v>5</v>
      </c>
      <c r="Q27" s="2">
        <v>8</v>
      </c>
      <c r="R27" s="2" t="s">
        <v>5</v>
      </c>
      <c r="S27" s="9">
        <f>SQRT((P27-4)^2+(Q27-5)^2)</f>
        <v>3.1622776601683795</v>
      </c>
      <c r="U27" s="8"/>
      <c r="V27" s="8"/>
      <c r="W27" s="8"/>
      <c r="X27" s="8"/>
      <c r="Y27" s="8"/>
      <c r="Z27" s="8"/>
      <c r="AA27" s="2">
        <v>16</v>
      </c>
      <c r="AB27" s="2">
        <v>6</v>
      </c>
      <c r="AC27" s="2">
        <v>8</v>
      </c>
      <c r="AD27" s="2" t="s">
        <v>5</v>
      </c>
    </row>
    <row r="28" spans="3:30" x14ac:dyDescent="0.25">
      <c r="H28" s="2">
        <v>11</v>
      </c>
      <c r="I28" s="2">
        <v>1</v>
      </c>
      <c r="J28" s="2">
        <v>6</v>
      </c>
      <c r="K28" s="2" t="s">
        <v>5</v>
      </c>
      <c r="L28" s="9">
        <f>SQRT((I28-4)^2+(J28-5)^2)</f>
        <v>3.1622776601683795</v>
      </c>
      <c r="O28" s="2">
        <v>16</v>
      </c>
      <c r="P28" s="2">
        <v>6</v>
      </c>
      <c r="Q28" s="2">
        <v>8</v>
      </c>
      <c r="R28" s="2" t="s">
        <v>5</v>
      </c>
      <c r="S28" s="9">
        <f>SQRT((P28-4)^2+(Q28-5)^2)</f>
        <v>3.6055512754639891</v>
      </c>
      <c r="AA28" s="2">
        <v>17</v>
      </c>
      <c r="AB28" s="2">
        <v>7</v>
      </c>
      <c r="AC28" s="2">
        <v>9</v>
      </c>
      <c r="AD28" s="2" t="s">
        <v>4</v>
      </c>
    </row>
    <row r="29" spans="3:30" x14ac:dyDescent="0.25">
      <c r="H29" s="2">
        <v>12</v>
      </c>
      <c r="I29" s="2">
        <v>2</v>
      </c>
      <c r="J29" s="2">
        <v>6</v>
      </c>
      <c r="K29" s="2" t="s">
        <v>5</v>
      </c>
      <c r="L29" s="9">
        <f>SQRT((I29-4)^2+(J29-5)^2)</f>
        <v>2.2360679774997898</v>
      </c>
      <c r="O29" s="2">
        <v>8</v>
      </c>
      <c r="P29" s="2">
        <v>8</v>
      </c>
      <c r="Q29" s="2">
        <v>4</v>
      </c>
      <c r="R29" s="2" t="s">
        <v>4</v>
      </c>
      <c r="S29" s="9">
        <f>SQRT((P29-4)^2+(Q29-5)^2)</f>
        <v>4.1231056256176606</v>
      </c>
      <c r="AA29" s="2">
        <v>18</v>
      </c>
      <c r="AB29" s="2">
        <v>8</v>
      </c>
      <c r="AC29" s="2">
        <v>9</v>
      </c>
      <c r="AD29" s="2" t="s">
        <v>4</v>
      </c>
    </row>
    <row r="30" spans="3:30" x14ac:dyDescent="0.25">
      <c r="H30" s="2">
        <v>13</v>
      </c>
      <c r="I30" s="2">
        <v>3</v>
      </c>
      <c r="J30" s="2">
        <v>7</v>
      </c>
      <c r="K30" s="2" t="s">
        <v>4</v>
      </c>
      <c r="L30" s="9">
        <f>SQRT((I30-4)^2+(J30-5)^2)</f>
        <v>2.2360679774997898</v>
      </c>
      <c r="O30" s="2">
        <v>2</v>
      </c>
      <c r="P30" s="2">
        <v>2</v>
      </c>
      <c r="Q30" s="2">
        <v>1</v>
      </c>
      <c r="R30" s="2" t="s">
        <v>4</v>
      </c>
      <c r="S30" s="9">
        <f>SQRT((P30-4)^2+(Q30-5)^2)</f>
        <v>4.4721359549995796</v>
      </c>
      <c r="AA30" s="2">
        <v>19</v>
      </c>
      <c r="AB30" s="2">
        <v>9</v>
      </c>
      <c r="AC30" s="2">
        <v>10</v>
      </c>
      <c r="AD30" s="2" t="s">
        <v>5</v>
      </c>
    </row>
    <row r="31" spans="3:30" x14ac:dyDescent="0.25">
      <c r="H31" s="2">
        <v>14</v>
      </c>
      <c r="I31" s="2">
        <v>4</v>
      </c>
      <c r="J31" s="2">
        <v>7</v>
      </c>
      <c r="K31" s="2" t="s">
        <v>4</v>
      </c>
      <c r="L31" s="9">
        <f>SQRT((I31-4)^2+(J31-5)^2)</f>
        <v>2</v>
      </c>
      <c r="O31" s="2">
        <v>1</v>
      </c>
      <c r="P31" s="2">
        <v>1</v>
      </c>
      <c r="Q31" s="2">
        <v>1</v>
      </c>
      <c r="R31" s="2" t="s">
        <v>4</v>
      </c>
      <c r="S31" s="9">
        <f>SQRT((P31-4)^2+(Q31-5)^2)</f>
        <v>5</v>
      </c>
      <c r="AA31" s="2">
        <v>20</v>
      </c>
      <c r="AB31" s="2">
        <v>10</v>
      </c>
      <c r="AC31" s="2">
        <v>10</v>
      </c>
      <c r="AD31" s="2" t="s">
        <v>4</v>
      </c>
    </row>
    <row r="32" spans="3:30" x14ac:dyDescent="0.25">
      <c r="H32" s="2">
        <v>15</v>
      </c>
      <c r="I32" s="2">
        <v>5</v>
      </c>
      <c r="J32" s="2">
        <v>8</v>
      </c>
      <c r="K32" s="2" t="s">
        <v>5</v>
      </c>
      <c r="L32" s="9">
        <f>SQRT((I32-4)^2+(J32-5)^2)</f>
        <v>3.1622776601683795</v>
      </c>
      <c r="O32" s="2">
        <v>9</v>
      </c>
      <c r="P32" s="2">
        <v>9</v>
      </c>
      <c r="Q32" s="2">
        <v>5</v>
      </c>
      <c r="R32" s="2" t="s">
        <v>5</v>
      </c>
      <c r="S32" s="9">
        <f>SQRT((P32-4)^2+(Q32-5)^2)</f>
        <v>5</v>
      </c>
    </row>
    <row r="33" spans="8:31" x14ac:dyDescent="0.25">
      <c r="H33" s="2">
        <v>16</v>
      </c>
      <c r="I33" s="2">
        <v>6</v>
      </c>
      <c r="J33" s="2">
        <v>8</v>
      </c>
      <c r="K33" s="2" t="s">
        <v>5</v>
      </c>
      <c r="L33" s="9">
        <f>SQRT((I33-4)^2+(J33-5)^2)</f>
        <v>3.6055512754639891</v>
      </c>
      <c r="O33" s="2">
        <v>17</v>
      </c>
      <c r="P33" s="2">
        <v>7</v>
      </c>
      <c r="Q33" s="2">
        <v>9</v>
      </c>
      <c r="R33" s="2" t="s">
        <v>4</v>
      </c>
      <c r="S33" s="9">
        <f>SQRT((P33-4)^2+(Q33-5)^2)</f>
        <v>5</v>
      </c>
    </row>
    <row r="34" spans="8:31" x14ac:dyDescent="0.25">
      <c r="H34" s="2">
        <v>17</v>
      </c>
      <c r="I34" s="2">
        <v>7</v>
      </c>
      <c r="J34" s="2">
        <v>9</v>
      </c>
      <c r="K34" s="2" t="s">
        <v>4</v>
      </c>
      <c r="L34" s="9">
        <f>SQRT((I34-4)^2+(J34-5)^2)</f>
        <v>5</v>
      </c>
      <c r="O34" s="2">
        <v>18</v>
      </c>
      <c r="P34" s="2">
        <v>8</v>
      </c>
      <c r="Q34" s="2">
        <v>9</v>
      </c>
      <c r="R34" s="2" t="s">
        <v>4</v>
      </c>
      <c r="S34" s="9">
        <f>SQRT((P34-4)^2+(Q34-5)^2)</f>
        <v>5.6568542494923806</v>
      </c>
      <c r="AA34" s="15" t="s">
        <v>23</v>
      </c>
      <c r="AB34" s="15"/>
      <c r="AC34" s="15"/>
      <c r="AD34" s="15"/>
    </row>
    <row r="35" spans="8:31" x14ac:dyDescent="0.25">
      <c r="H35" s="2">
        <v>18</v>
      </c>
      <c r="I35" s="2">
        <v>8</v>
      </c>
      <c r="J35" s="2">
        <v>9</v>
      </c>
      <c r="K35" s="2" t="s">
        <v>4</v>
      </c>
      <c r="L35" s="9">
        <f>SQRT((I35-4)^2+(J35-5)^2)</f>
        <v>5.6568542494923806</v>
      </c>
      <c r="O35" s="2">
        <v>10</v>
      </c>
      <c r="P35" s="2">
        <v>10</v>
      </c>
      <c r="Q35" s="2">
        <v>5</v>
      </c>
      <c r="R35" s="2" t="s">
        <v>4</v>
      </c>
      <c r="S35" s="9">
        <f>SQRT((P35-4)^2+(Q35-5)^2)</f>
        <v>6</v>
      </c>
      <c r="AA35" s="15"/>
      <c r="AB35" s="15"/>
      <c r="AC35" s="15"/>
      <c r="AD35" s="15"/>
    </row>
    <row r="36" spans="8:31" x14ac:dyDescent="0.25">
      <c r="H36" s="2">
        <v>19</v>
      </c>
      <c r="I36" s="2">
        <v>9</v>
      </c>
      <c r="J36" s="2">
        <v>10</v>
      </c>
      <c r="K36" s="2" t="s">
        <v>5</v>
      </c>
      <c r="L36" s="9">
        <f>SQRT((I36-4)^2+(J36-5)^2)</f>
        <v>7.0710678118654755</v>
      </c>
      <c r="O36" s="2">
        <v>19</v>
      </c>
      <c r="P36" s="2">
        <v>9</v>
      </c>
      <c r="Q36" s="2">
        <v>10</v>
      </c>
      <c r="R36" s="2" t="s">
        <v>5</v>
      </c>
      <c r="S36" s="9">
        <f>SQRT((P36-4)^2+(Q36-5)^2)</f>
        <v>7.0710678118654755</v>
      </c>
    </row>
    <row r="37" spans="8:31" ht="30" x14ac:dyDescent="0.25">
      <c r="H37" s="2">
        <v>20</v>
      </c>
      <c r="I37" s="2">
        <v>10</v>
      </c>
      <c r="J37" s="2">
        <v>10</v>
      </c>
      <c r="K37" s="2" t="s">
        <v>4</v>
      </c>
      <c r="L37" s="9">
        <f>SQRT((I37-4)^2+(J37-5)^2)</f>
        <v>7.810249675906654</v>
      </c>
      <c r="O37" s="2">
        <v>20</v>
      </c>
      <c r="P37" s="2">
        <v>10</v>
      </c>
      <c r="Q37" s="2">
        <v>10</v>
      </c>
      <c r="R37" s="2" t="s">
        <v>4</v>
      </c>
      <c r="S37" s="9">
        <f>SQRT((P37-4)^2+(Q37-5)^2)</f>
        <v>7.810249675906654</v>
      </c>
      <c r="AA37" s="1" t="s">
        <v>0</v>
      </c>
      <c r="AB37" s="1" t="s">
        <v>1</v>
      </c>
      <c r="AC37" s="1" t="s">
        <v>2</v>
      </c>
      <c r="AD37" s="1" t="s">
        <v>3</v>
      </c>
      <c r="AE37" s="6" t="s">
        <v>11</v>
      </c>
    </row>
    <row r="38" spans="8:31" x14ac:dyDescent="0.25">
      <c r="AA38" s="12">
        <v>14</v>
      </c>
      <c r="AB38" s="12">
        <v>4</v>
      </c>
      <c r="AC38" s="12">
        <v>7</v>
      </c>
      <c r="AD38" s="12" t="s">
        <v>4</v>
      </c>
      <c r="AE38" s="13">
        <f>SQRT((AB38-4)^2+(AC38-5)^2)</f>
        <v>2</v>
      </c>
    </row>
    <row r="39" spans="8:31" x14ac:dyDescent="0.25">
      <c r="AA39" s="12">
        <v>5</v>
      </c>
      <c r="AB39" s="12">
        <v>5</v>
      </c>
      <c r="AC39" s="12">
        <v>3</v>
      </c>
      <c r="AD39" s="12" t="s">
        <v>5</v>
      </c>
      <c r="AE39" s="13">
        <f>SQRT((AB39-4)^2+(AC39-5)^2)</f>
        <v>2.2360679774997898</v>
      </c>
    </row>
    <row r="40" spans="8:31" x14ac:dyDescent="0.25">
      <c r="AA40" s="12">
        <v>12</v>
      </c>
      <c r="AB40" s="12">
        <v>2</v>
      </c>
      <c r="AC40" s="12">
        <v>6</v>
      </c>
      <c r="AD40" s="12" t="s">
        <v>5</v>
      </c>
      <c r="AE40" s="13">
        <f>SQRT((AB40-4)^2+(AC40-5)^2)</f>
        <v>2.2360679774997898</v>
      </c>
    </row>
    <row r="41" spans="8:31" x14ac:dyDescent="0.25">
      <c r="AA41" s="2">
        <v>13</v>
      </c>
      <c r="AB41" s="2">
        <v>3</v>
      </c>
      <c r="AC41" s="2">
        <v>7</v>
      </c>
      <c r="AD41" s="2" t="s">
        <v>4</v>
      </c>
      <c r="AE41" s="9">
        <f>SQRT((AB41-4)^2+(AC41-5)^2)</f>
        <v>2.2360679774997898</v>
      </c>
    </row>
    <row r="42" spans="8:31" x14ac:dyDescent="0.25">
      <c r="AA42" s="2">
        <v>6</v>
      </c>
      <c r="AB42" s="2">
        <v>6</v>
      </c>
      <c r="AC42" s="2">
        <v>3</v>
      </c>
      <c r="AD42" s="2" t="s">
        <v>5</v>
      </c>
      <c r="AE42" s="9">
        <f>SQRT((AB42-4)^2+(AC42-5)^2)</f>
        <v>2.8284271247461903</v>
      </c>
    </row>
    <row r="43" spans="8:31" x14ac:dyDescent="0.25">
      <c r="AA43" s="2">
        <v>4</v>
      </c>
      <c r="AB43" s="2">
        <v>4</v>
      </c>
      <c r="AC43" s="2">
        <v>2</v>
      </c>
      <c r="AD43" s="2" t="s">
        <v>5</v>
      </c>
      <c r="AE43" s="9">
        <f>SQRT((AB43-4)^2+(AC43-5)^2)</f>
        <v>3</v>
      </c>
    </row>
    <row r="44" spans="8:31" x14ac:dyDescent="0.25">
      <c r="AA44" s="2">
        <v>3</v>
      </c>
      <c r="AB44" s="2">
        <v>3</v>
      </c>
      <c r="AC44" s="2">
        <v>2</v>
      </c>
      <c r="AD44" s="2" t="s">
        <v>4</v>
      </c>
      <c r="AE44" s="9">
        <f>SQRT((AB44-4)^2+(AC44-5)^2)</f>
        <v>3.1622776601683795</v>
      </c>
    </row>
    <row r="45" spans="8:31" x14ac:dyDescent="0.25">
      <c r="AA45" s="2">
        <v>7</v>
      </c>
      <c r="AB45" s="2">
        <v>7</v>
      </c>
      <c r="AC45" s="2">
        <v>4</v>
      </c>
      <c r="AD45" s="2" t="s">
        <v>4</v>
      </c>
      <c r="AE45" s="9">
        <f>SQRT((AB45-4)^2+(AC45-5)^2)</f>
        <v>3.1622776601683795</v>
      </c>
    </row>
    <row r="46" spans="8:31" x14ac:dyDescent="0.25">
      <c r="AA46" s="2">
        <v>11</v>
      </c>
      <c r="AB46" s="2">
        <v>1</v>
      </c>
      <c r="AC46" s="2">
        <v>6</v>
      </c>
      <c r="AD46" s="2" t="s">
        <v>5</v>
      </c>
      <c r="AE46" s="9">
        <f>SQRT((AB46-4)^2+(AC46-5)^2)</f>
        <v>3.1622776601683795</v>
      </c>
    </row>
    <row r="47" spans="8:31" x14ac:dyDescent="0.25">
      <c r="AA47" s="2">
        <v>15</v>
      </c>
      <c r="AB47" s="2">
        <v>5</v>
      </c>
      <c r="AC47" s="2">
        <v>8</v>
      </c>
      <c r="AD47" s="2" t="s">
        <v>5</v>
      </c>
      <c r="AE47" s="9">
        <f>SQRT((AB47-4)^2+(AC47-5)^2)</f>
        <v>3.1622776601683795</v>
      </c>
    </row>
    <row r="48" spans="8:31" x14ac:dyDescent="0.25">
      <c r="AA48" s="2">
        <v>16</v>
      </c>
      <c r="AB48" s="2">
        <v>6</v>
      </c>
      <c r="AC48" s="2">
        <v>8</v>
      </c>
      <c r="AD48" s="2" t="s">
        <v>5</v>
      </c>
      <c r="AE48" s="9">
        <f>SQRT((AB48-4)^2+(AC48-5)^2)</f>
        <v>3.6055512754639891</v>
      </c>
    </row>
    <row r="49" spans="27:31" x14ac:dyDescent="0.25">
      <c r="AA49" s="2">
        <v>8</v>
      </c>
      <c r="AB49" s="2">
        <v>8</v>
      </c>
      <c r="AC49" s="2">
        <v>4</v>
      </c>
      <c r="AD49" s="2" t="s">
        <v>4</v>
      </c>
      <c r="AE49" s="9">
        <f>SQRT((AB49-4)^2+(AC49-5)^2)</f>
        <v>4.1231056256176606</v>
      </c>
    </row>
    <row r="50" spans="27:31" x14ac:dyDescent="0.25">
      <c r="AA50" s="2">
        <v>2</v>
      </c>
      <c r="AB50" s="2">
        <v>2</v>
      </c>
      <c r="AC50" s="2">
        <v>1</v>
      </c>
      <c r="AD50" s="2" t="s">
        <v>4</v>
      </c>
      <c r="AE50" s="9">
        <f>SQRT((AB50-4)^2+(AC50-5)^2)</f>
        <v>4.4721359549995796</v>
      </c>
    </row>
    <row r="51" spans="27:31" x14ac:dyDescent="0.25">
      <c r="AA51" s="2">
        <v>1</v>
      </c>
      <c r="AB51" s="2">
        <v>1</v>
      </c>
      <c r="AC51" s="2">
        <v>1</v>
      </c>
      <c r="AD51" s="2" t="s">
        <v>4</v>
      </c>
      <c r="AE51" s="9">
        <f>SQRT((AB51-4)^2+(AC51-5)^2)</f>
        <v>5</v>
      </c>
    </row>
    <row r="52" spans="27:31" x14ac:dyDescent="0.25">
      <c r="AA52" s="2">
        <v>9</v>
      </c>
      <c r="AB52" s="2">
        <v>9</v>
      </c>
      <c r="AC52" s="2">
        <v>5</v>
      </c>
      <c r="AD52" s="2" t="s">
        <v>5</v>
      </c>
      <c r="AE52" s="9">
        <f>SQRT((AB52-4)^2+(AC52-5)^2)</f>
        <v>5</v>
      </c>
    </row>
    <row r="53" spans="27:31" x14ac:dyDescent="0.25">
      <c r="AA53" s="2">
        <v>17</v>
      </c>
      <c r="AB53" s="2">
        <v>7</v>
      </c>
      <c r="AC53" s="2">
        <v>9</v>
      </c>
      <c r="AD53" s="2" t="s">
        <v>4</v>
      </c>
      <c r="AE53" s="9">
        <f>SQRT((AB53-4)^2+(AC53-5)^2)</f>
        <v>5</v>
      </c>
    </row>
    <row r="54" spans="27:31" x14ac:dyDescent="0.25">
      <c r="AA54" s="2">
        <v>18</v>
      </c>
      <c r="AB54" s="2">
        <v>8</v>
      </c>
      <c r="AC54" s="2">
        <v>9</v>
      </c>
      <c r="AD54" s="2" t="s">
        <v>4</v>
      </c>
      <c r="AE54" s="9">
        <f>SQRT((AB54-4)^2+(AC54-5)^2)</f>
        <v>5.6568542494923806</v>
      </c>
    </row>
    <row r="55" spans="27:31" x14ac:dyDescent="0.25">
      <c r="AA55" s="2">
        <v>10</v>
      </c>
      <c r="AB55" s="2">
        <v>10</v>
      </c>
      <c r="AC55" s="2">
        <v>5</v>
      </c>
      <c r="AD55" s="2" t="s">
        <v>4</v>
      </c>
      <c r="AE55" s="9">
        <f>SQRT((AB55-4)^2+(AC55-5)^2)</f>
        <v>6</v>
      </c>
    </row>
    <row r="56" spans="27:31" x14ac:dyDescent="0.25">
      <c r="AA56" s="2">
        <v>19</v>
      </c>
      <c r="AB56" s="2">
        <v>9</v>
      </c>
      <c r="AC56" s="2">
        <v>10</v>
      </c>
      <c r="AD56" s="2" t="s">
        <v>5</v>
      </c>
      <c r="AE56" s="9">
        <f>SQRT((AB56-4)^2+(AC56-5)^2)</f>
        <v>7.0710678118654755</v>
      </c>
    </row>
    <row r="57" spans="27:31" x14ac:dyDescent="0.25">
      <c r="AA57" s="2">
        <v>20</v>
      </c>
      <c r="AB57" s="2">
        <v>10</v>
      </c>
      <c r="AC57" s="2">
        <v>10</v>
      </c>
      <c r="AD57" s="2" t="s">
        <v>4</v>
      </c>
      <c r="AE57" s="9">
        <f>SQRT((AB57-4)^2+(AC57-5)^2)</f>
        <v>7.810249675906654</v>
      </c>
    </row>
  </sheetData>
  <sortState ref="O18:S37">
    <sortCondition ref="S17:S36"/>
  </sortState>
  <mergeCells count="7">
    <mergeCell ref="U26:Z27"/>
    <mergeCell ref="AA9:AD9"/>
    <mergeCell ref="AA34:AD35"/>
    <mergeCell ref="J2:N2"/>
    <mergeCell ref="H9:I9"/>
    <mergeCell ref="H10:M11"/>
    <mergeCell ref="O9:S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2025-03-25T06:11:06Z</dcterms:created>
  <dcterms:modified xsi:type="dcterms:W3CDTF">2025-03-25T07:41:03Z</dcterms:modified>
</cp:coreProperties>
</file>